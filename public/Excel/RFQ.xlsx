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xr:revisionPtr revIDLastSave="0" documentId="8_{2F7EF34B-8AB0-4A30-8DD8-C9396B6D4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3" i="1"/>
  <c r="K24" i="1"/>
  <c r="K22" i="1"/>
  <c r="K33" i="1" l="1"/>
  <c r="K35" i="1" s="1"/>
  <c r="K36" i="1" s="1"/>
  <c r="K37" i="1" s="1"/>
</calcChain>
</file>

<file path=xl/sharedStrings.xml><?xml version="1.0" encoding="utf-8"?>
<sst xmlns="http://schemas.openxmlformats.org/spreadsheetml/2006/main" count="58" uniqueCount="52">
  <si>
    <t>TO</t>
  </si>
  <si>
    <t>ATTN</t>
  </si>
  <si>
    <t>CC</t>
  </si>
  <si>
    <t>Tel</t>
  </si>
  <si>
    <t>Fax</t>
  </si>
  <si>
    <t>Item</t>
  </si>
  <si>
    <t>Amount</t>
  </si>
  <si>
    <t>Thai / Bath</t>
  </si>
  <si>
    <t>Unit Price</t>
  </si>
  <si>
    <t>Qty.</t>
  </si>
  <si>
    <t>Description</t>
  </si>
  <si>
    <t>Total</t>
  </si>
  <si>
    <t>VAT 7 %</t>
  </si>
  <si>
    <t>Grand Total</t>
  </si>
  <si>
    <t>Delivery</t>
  </si>
  <si>
    <t>Validity</t>
  </si>
  <si>
    <t>Payment</t>
  </si>
  <si>
    <t>MR. APICHART NGERNMO</t>
  </si>
  <si>
    <t>Manager</t>
  </si>
  <si>
    <t>Sub total</t>
  </si>
  <si>
    <t>days</t>
  </si>
  <si>
    <t>ใบเสนอราคา</t>
  </si>
  <si>
    <t>QUOTATION</t>
  </si>
  <si>
    <t xml:space="preserve">We thank you for your enquiry We have pleasure in quotation you the following products with price, terms and specification </t>
  </si>
  <si>
    <t>Please contact us if you have any query or required further information.</t>
  </si>
  <si>
    <t>Mr.Apichart Ngernmo</t>
  </si>
  <si>
    <t>Quote No.:</t>
  </si>
  <si>
    <t>Date        :</t>
  </si>
  <si>
    <t>Total Page:</t>
  </si>
  <si>
    <t xml:space="preserve">From        :            </t>
  </si>
  <si>
    <t>Mobile      :</t>
  </si>
  <si>
    <t>086-3303373 , 086-3389283</t>
  </si>
  <si>
    <t>1 of  1</t>
  </si>
  <si>
    <t>ACT&amp;R HIGH PRECISION PART CO.,LTD.</t>
  </si>
  <si>
    <t xml:space="preserve">                               Credit 30 days</t>
  </si>
  <si>
    <t>Tel : 0-3806-3031  Fax : 0-3806-3032</t>
  </si>
  <si>
    <t>days after received your p/o</t>
  </si>
  <si>
    <t xml:space="preserve">Discount     </t>
  </si>
  <si>
    <t>121/57-58 Moo 2 T.Bueng A. Sriracha Chonburi  20230</t>
  </si>
  <si>
    <t>033-010741-48</t>
  </si>
  <si>
    <t>033-010749</t>
  </si>
  <si>
    <t>บริษัท เจเทคโต๊ะ คอลัมน์ ซิสเต็มส์ ( ไทยแลนด์  ) จำกัด</t>
  </si>
  <si>
    <t>E-mail : sirapatchara_act@yahoo.co.th</t>
  </si>
  <si>
    <t>Sirapat</t>
  </si>
  <si>
    <t>PCS</t>
  </si>
  <si>
    <t>K.SIRIWAN</t>
  </si>
  <si>
    <t>JCSTH</t>
  </si>
  <si>
    <t>ACT25-12-001 JCSTH</t>
  </si>
  <si>
    <t>Item 1 name</t>
  </si>
  <si>
    <t>Item 2 name</t>
  </si>
  <si>
    <t>Item 3 name</t>
  </si>
  <si>
    <t>Item 4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</si>
</sst>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>
    <font>
      <sz val="10"/>
      <name val="Arial"/>
      <charset val="22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b/>
      <sz val="18"/>
      <name val="Swis721 BlkOul BT"/>
      <family val="5"/>
    </font>
    <font>
      <sz val="10"/>
      <name val="Arial"/>
      <family val="2"/>
    </font>
    <font>
      <b/>
      <sz val="14"/>
      <name val="Brush Script MT"/>
      <family val="4"/>
    </font>
    <font>
      <sz val="11"/>
      <color rgb="FF000000"/>
      <name val="Arial"/>
      <family val="2"/>
    </font>
    <font>
      <sz val="48"/>
      <name val="Arial"/>
      <family val="2"/>
    </font>
    <font>
      <b/>
      <sz val="48"/>
      <name val="Swis721 BlkOul BT"/>
      <family val="5"/>
    </font>
    <font>
      <b/>
      <sz val="4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0" xfId="0" applyFont="1"/>
    <xf numFmtId="0" fontId="0" fillId="0" borderId="7" xfId="0" applyBorder="1" applyAlignment="1">
      <alignment horizontal="center"/>
    </xf>
    <xf numFmtId="164" fontId="0" fillId="0" borderId="0" xfId="1" applyFont="1" applyBorder="1" applyAlignment="1">
      <alignment horizontal="right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9" xfId="1" applyFont="1" applyBorder="1" applyAlignment="1">
      <alignment horizontal="center"/>
    </xf>
    <xf numFmtId="164" fontId="6" fillId="0" borderId="6" xfId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6" fillId="0" borderId="0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64" fontId="0" fillId="0" borderId="10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0</xdr:row>
          <xdr:rowOff>57150</xdr:rowOff>
        </xdr:from>
        <xdr:to>
          <xdr:col>3</xdr:col>
          <xdr:colOff>561975</xdr:colOff>
          <xdr:row>5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A872BE2-6739-6516-7248-2DAD688E2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43"/>
  <sheetViews>
    <sheetView tabSelected="1" topLeftCell="A3" workbookViewId="0">
      <selection activeCell="N16" sqref="N16"/>
    </sheetView>
  </sheetViews>
  <sheetFormatPr defaultRowHeight="15" customHeight="1"/>
  <cols>
    <col min="1" max="5" width="9.140625" style="2"/>
    <col min="6" max="6" width="6" style="2" customWidth="1"/>
    <col min="7" max="7" width="8.7109375" style="2" customWidth="1"/>
    <col min="8" max="8" width="5.28515625" style="1" customWidth="1"/>
    <col min="9" max="9" width="12.7109375" style="2" customWidth="1"/>
    <col min="10" max="10" width="6.140625" style="2" customWidth="1"/>
    <col min="11" max="11" width="9.140625" style="2"/>
    <col min="12" max="12" width="9.28515625" style="2" bestFit="1" customWidth="1"/>
    <col min="13" max="16384" width="9.140625" style="2"/>
  </cols>
  <sheetData>
    <row r="4" spans="1:12" ht="15" customHeight="1">
      <c r="K4" s="9"/>
      <c r="L4" s="9"/>
    </row>
    <row r="5" spans="1:12" ht="15" customHeight="1">
      <c r="J5" s="9"/>
      <c r="K5" s="9"/>
      <c r="L5" s="9"/>
    </row>
    <row r="6" spans="1:12" ht="15" customHeight="1">
      <c r="A6" s="13" t="s">
        <v>33</v>
      </c>
      <c r="B6" s="13"/>
      <c r="C6" s="13"/>
      <c r="D6" s="13"/>
      <c r="J6" s="49" t="s">
        <v>21</v>
      </c>
      <c r="K6" s="49"/>
      <c r="L6" s="49"/>
    </row>
    <row r="7" spans="1:12" ht="15" customHeight="1">
      <c r="A7" s="2" t="s">
        <v>38</v>
      </c>
      <c r="J7" s="49"/>
      <c r="K7" s="49"/>
      <c r="L7" s="49"/>
    </row>
    <row r="8" spans="1:12" ht="15" customHeight="1">
      <c r="A8" s="2" t="s">
        <v>35</v>
      </c>
      <c r="J8" s="54" t="s">
        <v>22</v>
      </c>
      <c r="K8" s="54"/>
      <c r="L8" s="54"/>
    </row>
    <row r="9" spans="1:12" ht="15" customHeight="1">
      <c r="A9" s="20" t="s">
        <v>42</v>
      </c>
      <c r="J9" s="54"/>
      <c r="K9" s="54"/>
      <c r="L9" s="54"/>
    </row>
    <row r="10" spans="1:12" ht="8.25" customHeight="1">
      <c r="J10" s="55"/>
      <c r="K10" s="55"/>
      <c r="L10" s="55"/>
    </row>
    <row r="11" spans="1:12" ht="15" customHeight="1">
      <c r="A11" s="14" t="s">
        <v>0</v>
      </c>
      <c r="B11" s="43" t="s">
        <v>41</v>
      </c>
      <c r="C11" s="43"/>
      <c r="D11" s="43"/>
      <c r="E11" s="43"/>
      <c r="F11" s="43"/>
      <c r="G11" s="43"/>
      <c r="H11" s="44"/>
      <c r="I11" s="14" t="s">
        <v>26</v>
      </c>
      <c r="J11" s="58" t="s">
        <v>47</v>
      </c>
      <c r="K11" s="43"/>
      <c r="L11" s="44"/>
    </row>
    <row r="12" spans="1:12" ht="15" customHeight="1">
      <c r="A12" s="15" t="s">
        <v>1</v>
      </c>
      <c r="B12" s="45" t="s">
        <v>45</v>
      </c>
      <c r="C12" s="33"/>
      <c r="D12" s="33"/>
      <c r="E12" s="33"/>
      <c r="F12" s="33"/>
      <c r="G12" s="33"/>
      <c r="H12" s="34"/>
      <c r="I12" s="15" t="s">
        <v>27</v>
      </c>
      <c r="J12" s="59">
        <v>45992</v>
      </c>
      <c r="K12" s="33"/>
      <c r="L12" s="34"/>
    </row>
    <row r="13" spans="1:12" ht="15" customHeight="1">
      <c r="A13" s="15" t="s">
        <v>2</v>
      </c>
      <c r="B13" s="45"/>
      <c r="C13" s="33"/>
      <c r="D13" s="33"/>
      <c r="E13" s="33"/>
      <c r="F13" s="33"/>
      <c r="G13" s="33"/>
      <c r="H13" s="34"/>
      <c r="I13" s="17" t="s">
        <v>28</v>
      </c>
      <c r="J13" s="32" t="s">
        <v>32</v>
      </c>
      <c r="K13" s="33"/>
      <c r="L13" s="34"/>
    </row>
    <row r="14" spans="1:12" ht="15" customHeight="1">
      <c r="A14" s="15" t="s">
        <v>3</v>
      </c>
      <c r="B14" s="33" t="s">
        <v>39</v>
      </c>
      <c r="C14" s="33"/>
      <c r="D14" s="33"/>
      <c r="E14" s="33"/>
      <c r="F14" s="33"/>
      <c r="G14" s="33"/>
      <c r="H14" s="34"/>
      <c r="I14" s="15" t="s">
        <v>29</v>
      </c>
      <c r="J14" s="33" t="s">
        <v>25</v>
      </c>
      <c r="K14" s="33"/>
      <c r="L14" s="34"/>
    </row>
    <row r="15" spans="1:12" ht="15" customHeight="1">
      <c r="A15" s="16" t="s">
        <v>4</v>
      </c>
      <c r="B15" s="37" t="s">
        <v>40</v>
      </c>
      <c r="C15" s="37"/>
      <c r="D15" s="37"/>
      <c r="E15" s="37"/>
      <c r="F15" s="37"/>
      <c r="G15" s="37"/>
      <c r="H15" s="38"/>
      <c r="I15" s="16" t="s">
        <v>30</v>
      </c>
      <c r="J15" s="37" t="s">
        <v>31</v>
      </c>
      <c r="K15" s="37"/>
      <c r="L15" s="38"/>
    </row>
    <row r="16" spans="1:12" ht="15" customHeight="1">
      <c r="A16" s="2" t="s">
        <v>23</v>
      </c>
    </row>
    <row r="17" spans="1:12" ht="15" customHeight="1">
      <c r="A17" s="2" t="s">
        <v>24</v>
      </c>
    </row>
    <row r="19" spans="1:12" ht="15" customHeight="1">
      <c r="A19" s="40" t="s">
        <v>5</v>
      </c>
      <c r="B19" s="41" t="s">
        <v>10</v>
      </c>
      <c r="C19" s="40"/>
      <c r="D19" s="40"/>
      <c r="E19" s="40"/>
      <c r="F19" s="42"/>
      <c r="G19" s="46" t="s">
        <v>9</v>
      </c>
      <c r="H19" s="47"/>
      <c r="I19" s="57" t="s">
        <v>8</v>
      </c>
      <c r="J19" s="47"/>
      <c r="K19" s="46" t="s">
        <v>6</v>
      </c>
      <c r="L19" s="47"/>
    </row>
    <row r="20" spans="1:12" ht="15" customHeight="1">
      <c r="A20" s="40"/>
      <c r="B20" s="41"/>
      <c r="C20" s="40"/>
      <c r="D20" s="40"/>
      <c r="E20" s="40"/>
      <c r="F20" s="42"/>
      <c r="G20" s="48"/>
      <c r="H20" s="36"/>
      <c r="I20" s="35" t="s">
        <v>7</v>
      </c>
      <c r="J20" s="36"/>
      <c r="K20" s="48" t="s">
        <v>7</v>
      </c>
      <c r="L20" s="36"/>
    </row>
    <row r="21" spans="1:12" ht="24.75" customHeight="1">
      <c r="A21" s="28">
        <v>1</v>
      </c>
      <c r="B21" s="27" t="s">
        <v>48</v>
      </c>
      <c r="C21" s="21"/>
      <c r="D21" s="21"/>
      <c r="E21" s="21"/>
      <c r="F21" s="22"/>
      <c r="G21" s="25">
        <v>1</v>
      </c>
      <c r="H21" s="26" t="s">
        <v>44</v>
      </c>
      <c r="I21" s="56">
        <v>6850</v>
      </c>
      <c r="J21" s="56"/>
      <c r="K21" s="52">
        <f>I21*G21</f>
        <v>6850</v>
      </c>
      <c r="L21" s="53"/>
    </row>
    <row r="22" spans="1:12" ht="24.75" customHeight="1">
      <c r="A22" s="28">
        <v>2</v>
      </c>
      <c r="B22" s="27" t="s">
        <v>49</v>
      </c>
      <c r="C22" s="21"/>
      <c r="D22" s="21"/>
      <c r="E22" s="21"/>
      <c r="F22" s="22"/>
      <c r="G22" s="25">
        <v>1</v>
      </c>
      <c r="H22" s="26" t="s">
        <v>44</v>
      </c>
      <c r="I22" s="56">
        <v>6850</v>
      </c>
      <c r="J22" s="56"/>
      <c r="K22" s="52">
        <f>I22*G22</f>
        <v>6850</v>
      </c>
      <c r="L22" s="53"/>
    </row>
    <row r="23" spans="1:12" ht="24.75" customHeight="1">
      <c r="A23" s="28">
        <v>3</v>
      </c>
      <c r="B23" s="27" t="s">
        <v>50</v>
      </c>
      <c r="C23" s="21"/>
      <c r="D23" s="21"/>
      <c r="E23" s="21"/>
      <c r="F23" s="22"/>
      <c r="G23" s="25">
        <v>2</v>
      </c>
      <c r="H23" s="26" t="s">
        <v>44</v>
      </c>
      <c r="I23" s="50">
        <v>1250</v>
      </c>
      <c r="J23" s="51"/>
      <c r="K23" s="52">
        <f t="shared" ref="K23:K24" si="0">I23*G23</f>
        <v>2500</v>
      </c>
      <c r="L23" s="53"/>
    </row>
    <row r="24" spans="1:12" ht="24.75" customHeight="1">
      <c r="A24" s="28">
        <v>4</v>
      </c>
      <c r="B24" s="27" t="s">
        <v>51</v>
      </c>
      <c r="C24" s="21"/>
      <c r="D24" s="21"/>
      <c r="E24" s="21"/>
      <c r="F24" s="22"/>
      <c r="G24" s="25">
        <v>1</v>
      </c>
      <c r="H24" s="26" t="s">
        <v>44</v>
      </c>
      <c r="I24" s="50">
        <v>2850</v>
      </c>
      <c r="J24" s="51"/>
      <c r="K24" s="52">
        <f t="shared" si="0"/>
        <v>2850</v>
      </c>
      <c r="L24" s="53"/>
    </row>
    <row r="25" spans="1:12" ht="24.75" customHeight="1">
      <c r="A25" s="11"/>
      <c r="B25" s="24"/>
      <c r="C25" s="21"/>
      <c r="D25" s="21"/>
      <c r="E25" s="21"/>
      <c r="F25" s="22"/>
      <c r="G25" s="18"/>
      <c r="H25" s="26"/>
      <c r="I25" s="29"/>
      <c r="J25" s="29"/>
      <c r="K25" s="30"/>
      <c r="L25" s="31"/>
    </row>
    <row r="26" spans="1:12" ht="24.75" customHeight="1">
      <c r="A26" s="11"/>
      <c r="B26" s="24"/>
      <c r="C26" s="23"/>
      <c r="D26" s="21"/>
      <c r="E26" s="21"/>
      <c r="F26" s="22"/>
      <c r="G26" s="18"/>
      <c r="H26" s="26"/>
      <c r="I26" s="29"/>
      <c r="J26" s="29"/>
      <c r="K26" s="30"/>
      <c r="L26" s="31"/>
    </row>
    <row r="27" spans="1:12" ht="24.75" customHeight="1">
      <c r="A27" s="11"/>
      <c r="B27" s="27"/>
      <c r="C27" s="23"/>
      <c r="D27" s="21"/>
      <c r="E27" s="21"/>
      <c r="F27" s="22"/>
      <c r="G27" s="18"/>
      <c r="H27" s="26"/>
      <c r="I27" s="29"/>
      <c r="J27" s="29"/>
      <c r="K27" s="30"/>
      <c r="L27" s="31"/>
    </row>
    <row r="28" spans="1:12" ht="24.75" customHeight="1">
      <c r="A28" s="11"/>
      <c r="B28" s="27"/>
      <c r="C28" s="23"/>
      <c r="D28" s="21"/>
      <c r="E28" s="21"/>
      <c r="F28" s="22"/>
      <c r="G28" s="18"/>
      <c r="H28" s="26"/>
      <c r="I28" s="29"/>
      <c r="J28" s="29"/>
      <c r="K28" s="30"/>
      <c r="L28" s="31"/>
    </row>
    <row r="29" spans="1:12" ht="24.75" customHeight="1">
      <c r="A29" s="11"/>
      <c r="B29" s="27"/>
      <c r="C29" s="21"/>
      <c r="D29" s="21"/>
      <c r="E29" s="21"/>
      <c r="F29" s="22"/>
      <c r="G29" s="18"/>
      <c r="H29" s="26"/>
      <c r="I29" s="29"/>
      <c r="J29" s="29"/>
      <c r="K29" s="30"/>
      <c r="L29" s="31"/>
    </row>
    <row r="30" spans="1:12" ht="24.75" customHeight="1">
      <c r="A30" s="11"/>
      <c r="B30" s="27"/>
      <c r="C30" s="23"/>
      <c r="D30" s="21"/>
      <c r="E30" s="21"/>
      <c r="F30" s="21"/>
      <c r="G30" s="18"/>
      <c r="H30" s="26"/>
      <c r="I30" s="29"/>
      <c r="J30" s="29"/>
      <c r="K30" s="30"/>
      <c r="L30" s="31"/>
    </row>
    <row r="31" spans="1:12" ht="24.75" customHeight="1">
      <c r="A31" s="11"/>
      <c r="B31" s="27"/>
      <c r="C31" s="23"/>
      <c r="D31" s="21"/>
      <c r="E31" s="21"/>
      <c r="F31" s="21"/>
      <c r="G31" s="18"/>
      <c r="H31" s="26"/>
      <c r="I31" s="29"/>
      <c r="J31" s="29"/>
      <c r="K31" s="30"/>
      <c r="L31" s="31"/>
    </row>
    <row r="32" spans="1:12" ht="24.75" customHeight="1">
      <c r="A32" s="12"/>
      <c r="B32" s="39"/>
      <c r="C32" s="39"/>
      <c r="D32" s="39"/>
      <c r="E32" s="39"/>
      <c r="F32" s="39"/>
      <c r="G32" s="19"/>
      <c r="H32" s="3"/>
      <c r="I32" s="39"/>
      <c r="J32" s="39"/>
      <c r="K32" s="30"/>
      <c r="L32" s="31"/>
    </row>
    <row r="33" spans="1:12" ht="15" customHeight="1">
      <c r="A33" s="4"/>
      <c r="F33" s="5"/>
      <c r="H33" s="10"/>
      <c r="I33" s="70" t="s">
        <v>11</v>
      </c>
      <c r="J33" s="70"/>
      <c r="K33" s="61">
        <f>SUM(K21:L32)</f>
        <v>19050</v>
      </c>
      <c r="L33" s="62"/>
    </row>
    <row r="34" spans="1:12" ht="15" customHeight="1">
      <c r="A34" s="15" t="s">
        <v>14</v>
      </c>
      <c r="B34" s="8">
        <v>30</v>
      </c>
      <c r="C34" s="2" t="s">
        <v>36</v>
      </c>
      <c r="H34" s="10"/>
      <c r="I34" s="64" t="s">
        <v>37</v>
      </c>
      <c r="J34" s="64"/>
      <c r="K34" s="68"/>
      <c r="L34" s="69"/>
    </row>
    <row r="35" spans="1:12" ht="15" customHeight="1">
      <c r="A35" s="15" t="s">
        <v>15</v>
      </c>
      <c r="B35" s="8">
        <v>30</v>
      </c>
      <c r="C35" s="2" t="s">
        <v>20</v>
      </c>
      <c r="H35" s="10"/>
      <c r="I35" s="66" t="s">
        <v>19</v>
      </c>
      <c r="J35" s="67"/>
      <c r="K35" s="61">
        <f>K33-K34</f>
        <v>19050</v>
      </c>
      <c r="L35" s="62"/>
    </row>
    <row r="36" spans="1:12" ht="15" customHeight="1">
      <c r="A36" s="15" t="s">
        <v>16</v>
      </c>
      <c r="B36" s="1" t="s">
        <v>34</v>
      </c>
      <c r="H36" s="10"/>
      <c r="I36" s="64" t="s">
        <v>12</v>
      </c>
      <c r="J36" s="64"/>
      <c r="K36" s="61">
        <f>K35*0.07</f>
        <v>1333.5000000000002</v>
      </c>
      <c r="L36" s="62"/>
    </row>
    <row r="37" spans="1:12" ht="15" customHeight="1">
      <c r="A37" s="6"/>
      <c r="B37" s="7"/>
      <c r="C37" s="7"/>
      <c r="D37" s="7"/>
      <c r="E37" s="7"/>
      <c r="F37" s="7"/>
      <c r="G37" s="7"/>
      <c r="H37" s="3"/>
      <c r="I37" s="64" t="s">
        <v>13</v>
      </c>
      <c r="J37" s="64"/>
      <c r="K37" s="61">
        <f>K35+K36</f>
        <v>20383.5</v>
      </c>
      <c r="L37" s="62"/>
    </row>
    <row r="39" spans="1:12" ht="15" customHeight="1">
      <c r="H39" s="2"/>
    </row>
    <row r="41" spans="1:12" ht="21.75" customHeight="1">
      <c r="I41" s="65" t="s">
        <v>43</v>
      </c>
      <c r="J41" s="65"/>
      <c r="K41" s="65"/>
    </row>
    <row r="42" spans="1:12" ht="15" customHeight="1">
      <c r="I42" s="60" t="s">
        <v>17</v>
      </c>
      <c r="J42" s="60"/>
      <c r="K42" s="60"/>
    </row>
    <row r="43" spans="1:12" ht="15" customHeight="1">
      <c r="I43" s="63" t="s">
        <v>18</v>
      </c>
      <c r="J43" s="63"/>
      <c r="K43" s="63"/>
    </row>
  </sheetData>
  <mergeCells count="57">
    <mergeCell ref="I34:J34"/>
    <mergeCell ref="K34:L34"/>
    <mergeCell ref="I32:J32"/>
    <mergeCell ref="K32:L32"/>
    <mergeCell ref="K33:L33"/>
    <mergeCell ref="I33:J33"/>
    <mergeCell ref="I42:K42"/>
    <mergeCell ref="K35:L35"/>
    <mergeCell ref="I43:K43"/>
    <mergeCell ref="I36:J36"/>
    <mergeCell ref="I37:J37"/>
    <mergeCell ref="K36:L36"/>
    <mergeCell ref="K37:L37"/>
    <mergeCell ref="I41:K41"/>
    <mergeCell ref="I35:J35"/>
    <mergeCell ref="J6:L7"/>
    <mergeCell ref="I24:J24"/>
    <mergeCell ref="K24:L24"/>
    <mergeCell ref="J8:L10"/>
    <mergeCell ref="J15:L15"/>
    <mergeCell ref="I23:J23"/>
    <mergeCell ref="K23:L23"/>
    <mergeCell ref="I21:J21"/>
    <mergeCell ref="I22:J22"/>
    <mergeCell ref="K21:L21"/>
    <mergeCell ref="K22:L22"/>
    <mergeCell ref="K19:L19"/>
    <mergeCell ref="K20:L20"/>
    <mergeCell ref="I19:J19"/>
    <mergeCell ref="J11:L11"/>
    <mergeCell ref="J12:L12"/>
    <mergeCell ref="B11:H11"/>
    <mergeCell ref="B12:H12"/>
    <mergeCell ref="B13:H13"/>
    <mergeCell ref="B14:H14"/>
    <mergeCell ref="G19:H20"/>
    <mergeCell ref="K29:L29"/>
    <mergeCell ref="B15:H15"/>
    <mergeCell ref="B32:F32"/>
    <mergeCell ref="A19:A20"/>
    <mergeCell ref="B19:F20"/>
    <mergeCell ref="I30:J30"/>
    <mergeCell ref="K30:L30"/>
    <mergeCell ref="I31:J31"/>
    <mergeCell ref="K31:L31"/>
    <mergeCell ref="J13:L13"/>
    <mergeCell ref="J14:L14"/>
    <mergeCell ref="I20:J20"/>
    <mergeCell ref="I26:J26"/>
    <mergeCell ref="I29:J29"/>
    <mergeCell ref="K25:L25"/>
    <mergeCell ref="I25:J25"/>
    <mergeCell ref="K26:L26"/>
    <mergeCell ref="I27:J27"/>
    <mergeCell ref="K27:L27"/>
    <mergeCell ref="I28:J28"/>
    <mergeCell ref="K28:L28"/>
  </mergeCells>
  <phoneticPr fontId="2" type="noConversion"/>
  <printOptions horizontalCentered="1"/>
  <pageMargins left="0.35433070866141736" right="0" top="0.39370078740157483" bottom="0" header="0.51181102362204722" footer="0.51181102362204722"/>
  <pageSetup paperSize="9" scale="95" orientation="portrait" horizontalDpi="4294967293" verticalDpi="18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utoCAD.Drawing.16" shapeId="1025" r:id="rId4">
          <objectPr defaultSize="0" autoPict="0" r:id="rId5">
            <anchor moveWithCells="1">
              <from>
                <xdr:col>0</xdr:col>
                <xdr:colOff>47625</xdr:colOff>
                <xdr:row>0</xdr:row>
                <xdr:rowOff>57150</xdr:rowOff>
              </from>
              <to>
                <xdr:col>3</xdr:col>
                <xdr:colOff>561975</xdr:colOff>
                <xdr:row>5</xdr:row>
                <xdr:rowOff>47625</xdr:rowOff>
              </to>
            </anchor>
          </objectPr>
        </oleObject>
      </mc:Choice>
      <mc:Fallback>
        <oleObject progId="AutoCAD.Drawing.16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M12" sqref="M12"/>
    </sheetView>
  </sheetViews>
  <sheetFormatPr defaultRowHeight="12.75"/>
  <sheetData>
    <row r="1" spans="1:9">
      <c r="A1" s="74" t="s">
        <v>46</v>
      </c>
      <c r="B1" s="74"/>
      <c r="C1" s="74"/>
      <c r="D1" s="74"/>
      <c r="E1" s="74"/>
      <c r="F1" s="74"/>
      <c r="G1" s="74"/>
      <c r="H1" s="74"/>
      <c r="I1" s="74"/>
    </row>
    <row r="2" spans="1:9" ht="60.75" customHeight="1">
      <c r="A2" s="74"/>
      <c r="B2" s="74"/>
      <c r="C2" s="74"/>
      <c r="D2" s="74"/>
      <c r="E2" s="74"/>
      <c r="F2" s="74"/>
      <c r="G2" s="74"/>
      <c r="H2" s="74"/>
      <c r="I2" s="74"/>
    </row>
    <row r="5" spans="1:9" ht="12.75" customHeight="1">
      <c r="A5" s="71" t="s">
        <v>21</v>
      </c>
      <c r="B5" s="71"/>
      <c r="C5" s="71"/>
      <c r="D5" s="71"/>
      <c r="E5" s="71"/>
      <c r="F5" s="71"/>
      <c r="G5" s="71"/>
      <c r="H5" s="71"/>
      <c r="I5" s="71"/>
    </row>
    <row r="6" spans="1:9" ht="113.25" customHeight="1">
      <c r="A6" s="71"/>
      <c r="B6" s="71"/>
      <c r="C6" s="71"/>
      <c r="D6" s="71"/>
      <c r="E6" s="71"/>
      <c r="F6" s="71"/>
      <c r="G6" s="71"/>
      <c r="H6" s="71"/>
      <c r="I6" s="71"/>
    </row>
    <row r="7" spans="1:9" ht="12.75" customHeight="1">
      <c r="A7" s="72" t="s">
        <v>22</v>
      </c>
      <c r="B7" s="72"/>
      <c r="C7" s="72"/>
      <c r="D7" s="72"/>
      <c r="E7" s="72"/>
      <c r="F7" s="72"/>
      <c r="G7" s="72"/>
      <c r="H7" s="72"/>
      <c r="I7" s="72"/>
    </row>
    <row r="8" spans="1:9" ht="12.75" customHeight="1">
      <c r="A8" s="72"/>
      <c r="B8" s="72"/>
      <c r="C8" s="72"/>
      <c r="D8" s="72"/>
      <c r="E8" s="72"/>
      <c r="F8" s="72"/>
      <c r="G8" s="72"/>
      <c r="H8" s="72"/>
      <c r="I8" s="72"/>
    </row>
    <row r="9" spans="1:9" ht="113.25" customHeight="1">
      <c r="A9" s="72"/>
      <c r="B9" s="72"/>
      <c r="C9" s="72"/>
      <c r="D9" s="72"/>
      <c r="E9" s="72"/>
      <c r="F9" s="72"/>
      <c r="G9" s="72"/>
      <c r="H9" s="72"/>
      <c r="I9" s="72"/>
    </row>
    <row r="10" spans="1:9">
      <c r="A10" s="73">
        <v>244228</v>
      </c>
      <c r="B10" s="72"/>
      <c r="C10" s="72"/>
      <c r="D10" s="72"/>
      <c r="E10" s="72"/>
      <c r="F10" s="72"/>
      <c r="G10" s="72"/>
      <c r="H10" s="72"/>
      <c r="I10" s="72"/>
    </row>
    <row r="11" spans="1:9">
      <c r="A11" s="72"/>
      <c r="B11" s="72"/>
      <c r="C11" s="72"/>
      <c r="D11" s="72"/>
      <c r="E11" s="72"/>
      <c r="F11" s="72"/>
      <c r="G11" s="72"/>
      <c r="H11" s="72"/>
      <c r="I11" s="72"/>
    </row>
    <row r="12" spans="1:9" ht="58.5" customHeight="1">
      <c r="A12" s="72"/>
      <c r="B12" s="72"/>
      <c r="C12" s="72"/>
      <c r="D12" s="72"/>
      <c r="E12" s="72"/>
      <c r="F12" s="72"/>
      <c r="G12" s="72"/>
      <c r="H12" s="72"/>
      <c r="I12" s="72"/>
    </row>
  </sheetData>
  <mergeCells count="4">
    <mergeCell ref="A5:I6"/>
    <mergeCell ref="A7:I9"/>
    <mergeCell ref="A10:I12"/>
    <mergeCell ref="A1:I2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chon chana</cp:lastModifiedBy>
  <cp:lastPrinted>2025-10-03T07:30:37Z</cp:lastPrinted>
  <dcterms:created xsi:type="dcterms:W3CDTF">2007-11-06T09:51:29Z</dcterms:created>
  <dcterms:modified xsi:type="dcterms:W3CDTF">2025-12-23T11:26:21Z</dcterms:modified>
</cp:coreProperties>
</file>